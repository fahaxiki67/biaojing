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标记录" sheetId="1" state="visible" r:id="rId1"/>
    <sheet xmlns:r="http://schemas.openxmlformats.org/officeDocument/2006/relationships" name="评分明细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【合成测试样本·SYNTHETIC】本文件由脚本自动生成，全部单位、人员、证照号码、电话、金额均为虚构，仅用于「标镜」软件验收测试。</t>
        </is>
      </c>
    </row>
    <row r="3">
      <c r="A3" t="inlineStr">
        <is>
          <t>序号</t>
        </is>
      </c>
      <c r="B3" t="inlineStr">
        <is>
          <t>投标单位</t>
        </is>
      </c>
      <c r="C3" t="inlineStr">
        <is>
          <t>主体编码</t>
        </is>
      </c>
      <c r="D3" t="inlineStr">
        <is>
          <t>总报价(元)</t>
        </is>
      </c>
      <c r="E3" t="inlineStr">
        <is>
          <t>报价大写</t>
        </is>
      </c>
      <c r="F3" t="inlineStr">
        <is>
          <t>递交时间</t>
        </is>
      </c>
      <c r="G3" t="inlineStr">
        <is>
          <t>密封情况</t>
        </is>
      </c>
      <c r="H3" t="inlineStr">
        <is>
          <t>备注</t>
        </is>
      </c>
    </row>
    <row r="4">
      <c r="A4" t="n">
        <v>1</v>
      </c>
      <c r="B4" t="inlineStr">
        <is>
          <t>蓝湾建设（合成）</t>
        </is>
      </c>
      <c r="C4" t="inlineStr">
        <is>
          <t>SYN-BIDDER-01</t>
        </is>
      </c>
      <c r="D4" t="n">
        <v>119860000</v>
      </c>
      <c r="E4" t="inlineStr">
        <is>
          <t>壹亿壹仟玖佰捌拾陆万元整</t>
        </is>
      </c>
      <c r="F4" t="inlineStr">
        <is>
          <t>2026-09-30 08:55</t>
        </is>
      </c>
      <c r="G4" t="inlineStr">
        <is>
          <t>合格（合成）</t>
        </is>
      </c>
    </row>
    <row r="5">
      <c r="A5" t="n">
        <v>2</v>
      </c>
      <c r="B5" t="inlineStr">
        <is>
          <t>红枫机电（合成）</t>
        </is>
      </c>
      <c r="C5" t="inlineStr">
        <is>
          <t>SYN-BIDDER-02</t>
        </is>
      </c>
      <c r="D5" t="n">
        <v>119915000</v>
      </c>
      <c r="E5" t="inlineStr">
        <is>
          <t>壹亿壹仟玖佰玖拾壹万伍仟元整</t>
        </is>
      </c>
      <c r="F5" t="inlineStr">
        <is>
          <t>2026-09-30 08:57</t>
        </is>
      </c>
      <c r="G5" t="inlineStr">
        <is>
          <t>合格（合成）</t>
        </is>
      </c>
    </row>
    <row r="6">
      <c r="A6" t="n">
        <v>3</v>
      </c>
      <c r="B6" t="inlineStr">
        <is>
          <t>青云基础（合成）</t>
        </is>
      </c>
      <c r="C6" t="inlineStr">
        <is>
          <t>SYN-BIDDER-03</t>
        </is>
      </c>
      <c r="D6" t="n">
        <v>119975000</v>
      </c>
      <c r="E6" t="inlineStr">
        <is>
          <t>壹亿壹仟玖佰玖拾柒万伍仟元整</t>
        </is>
      </c>
      <c r="F6" t="inlineStr">
        <is>
          <t>2026-09-30 08:59</t>
        </is>
      </c>
      <c r="G6" t="inlineStr">
        <is>
          <t>合格（合成）</t>
        </is>
      </c>
    </row>
    <row r="7">
      <c r="A7" t="n">
        <v>4</v>
      </c>
      <c r="B7" t="inlineStr">
        <is>
          <t>金石路桥（合成）</t>
        </is>
      </c>
      <c r="C7" t="inlineStr">
        <is>
          <t>SYN-BIDDER-04</t>
        </is>
      </c>
      <c r="D7" t="n">
        <v>120030000</v>
      </c>
      <c r="E7" t="inlineStr">
        <is>
          <t>壹亿贰仟万叁仟元整</t>
        </is>
      </c>
      <c r="F7" t="inlineStr">
        <is>
          <t>2026-09-30 09:01</t>
        </is>
      </c>
      <c r="G7" t="inlineStr">
        <is>
          <t>合格（合成）</t>
        </is>
      </c>
    </row>
    <row r="8">
      <c r="A8" t="n">
        <v>5</v>
      </c>
      <c r="B8" t="inlineStr">
        <is>
          <t>白鹭环保（合成）</t>
        </is>
      </c>
      <c r="C8" t="inlineStr">
        <is>
          <t>SYN-BIDDER-05</t>
        </is>
      </c>
      <c r="F8" t="inlineStr">
        <is>
          <t>2026-09-30 09:03</t>
        </is>
      </c>
      <c r="G8" t="inlineStr">
        <is>
          <t>合格（合成）</t>
        </is>
      </c>
      <c r="H8" t="inlineStr">
        <is>
          <t>未填报总价（合成情景·空值不补零）</t>
        </is>
      </c>
    </row>
    <row r="10">
      <c r="B10" t="inlineStr">
        <is>
          <t>有效报价数（公式）</t>
        </is>
      </c>
      <c r="C10">
        <f>COUNT(D4:D8)</f>
        <v/>
      </c>
    </row>
    <row r="11">
      <c r="B11" t="inlineStr">
        <is>
          <t>平均价（公式）</t>
        </is>
      </c>
      <c r="C11">
        <f>AVERAGE(D4:D8)</f>
        <v/>
      </c>
    </row>
    <row r="12">
      <c r="B12" t="inlineStr">
        <is>
          <t>极差率（公式）</t>
        </is>
      </c>
      <c r="C12">
        <f>(MAX(D4:D8)-MIN(D4:D8))/AVERAGE(D4:D8)</f>
        <v/>
      </c>
    </row>
    <row r="14">
      <c r="A14" t="inlineStr">
        <is>
          <t>注：C10:C12 为公式且生成时未写入缓存值（公式缓存缺失场景，合成演示）；读取时不得当作 0。</t>
        </is>
      </c>
    </row>
    <row r="15">
      <c r="A15" t="inlineStr">
        <is>
          <t>注：白鹭环保总报价为空值，统计时排除，不补零（见预期JSON R005）。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【合成测试样本·SYNTHETIC】本文件由脚本自动生成，全部单位、人员、证照号码、电话、金额均为虚构，仅用于「标镜」软件验收测试。</t>
        </is>
      </c>
    </row>
    <row r="2">
      <c r="A2" t="inlineStr">
        <is>
          <t>投标单位</t>
        </is>
      </c>
      <c r="B2" t="inlineStr">
        <is>
          <t>主体编码</t>
        </is>
      </c>
      <c r="C2" t="inlineStr">
        <is>
          <t>综合单价(元)</t>
        </is>
      </c>
      <c r="D2" t="inlineStr">
        <is>
          <t>数量</t>
        </is>
      </c>
      <c r="E2" t="inlineStr">
        <is>
          <t>金额(元)</t>
        </is>
      </c>
    </row>
    <row r="3">
      <c r="A3" t="inlineStr">
        <is>
          <t>蓝湾建设（合成）</t>
        </is>
      </c>
      <c r="B3" t="inlineStr">
        <is>
          <t>SYN-BIDDER-01</t>
        </is>
      </c>
      <c r="C3" t="n">
        <v>485</v>
      </c>
      <c r="D3" t="n">
        <v>100000</v>
      </c>
      <c r="E3">
        <f>C3*D3</f>
        <v/>
      </c>
    </row>
    <row r="4">
      <c r="A4" t="inlineStr">
        <is>
          <t>红枫机电（合成）</t>
        </is>
      </c>
      <c r="B4" t="inlineStr">
        <is>
          <t>SYN-BIDDER-02</t>
        </is>
      </c>
      <c r="C4" t="n">
        <v>500</v>
      </c>
      <c r="D4" t="n">
        <v>100000</v>
      </c>
      <c r="E4">
        <f>C4*D4</f>
        <v/>
      </c>
    </row>
    <row r="5">
      <c r="A5" t="inlineStr">
        <is>
          <t>青云基础（合成）</t>
        </is>
      </c>
      <c r="B5" t="inlineStr">
        <is>
          <t>SYN-BIDDER-03</t>
        </is>
      </c>
      <c r="C5" t="n">
        <v>515</v>
      </c>
      <c r="D5" t="n">
        <v>100000</v>
      </c>
      <c r="E5">
        <f>C5*D5</f>
        <v/>
      </c>
    </row>
    <row r="6">
      <c r="A6" t="inlineStr">
        <is>
          <t>金石路桥（合成）</t>
        </is>
      </c>
      <c r="B6" t="inlineStr">
        <is>
          <t>SYN-BIDDER-04</t>
        </is>
      </c>
      <c r="C6" t="n">
        <v>530</v>
      </c>
      <c r="D6" t="n">
        <v>100000</v>
      </c>
      <c r="E6">
        <f>C6*D6</f>
        <v/>
      </c>
    </row>
    <row r="7">
      <c r="A7" t="inlineStr">
        <is>
          <t>白鹭环保（合成）</t>
        </is>
      </c>
      <c r="B7" t="inlineStr">
        <is>
          <t>SYN-BIDDER-05</t>
        </is>
      </c>
      <c r="C7" t="n">
        <v>545</v>
      </c>
      <c r="D7" t="n">
        <v>100000</v>
      </c>
      <c r="E7">
        <f>C7*D7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syn-xlsx-openpy-01</dc:creator>
  <dc:title xmlns:dc="http://purl.org/dc/elements/1.1/">开标记录（合成样本）</dc:title>
  <dcterms:created xmlns:dcterms="http://purl.org/dc/terms/" xmlns:xsi="http://www.w3.org/2001/XMLSchema-instance" xsi:type="dcterms:W3CDTF">2026-09-28T10:00:00Z</dcterms:created>
  <dcterms:modified xmlns:dcterms="http://purl.org/dc/terms/" xmlns:xsi="http://www.w3.org/2001/XMLSchema-instance" xsi:type="dcterms:W3CDTF">2026-09-24T17:37:55Z</dcterms:modified>
  <cp:lastModifiedBy>syn-xlsx-openpy-01</cp:lastModifiedBy>
</cp:coreProperties>
</file>